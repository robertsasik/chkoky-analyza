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programovanie_python\CHKOKY-analyza\data\"/>
    </mc:Choice>
  </mc:AlternateContent>
  <xr:revisionPtr revIDLastSave="0" documentId="13_ncr:1_{3B6932DC-8D43-4FD3-AD06-78D639CE0D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yza_tab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M7" i="3"/>
  <c r="M6" i="3"/>
  <c r="M5" i="3"/>
  <c r="M4" i="3"/>
  <c r="M3" i="3"/>
  <c r="M2" i="3"/>
  <c r="C8" i="3"/>
  <c r="D8" i="3"/>
  <c r="E8" i="3"/>
  <c r="F8" i="3"/>
  <c r="G8" i="3"/>
  <c r="H8" i="3"/>
  <c r="I8" i="3"/>
  <c r="J8" i="3"/>
  <c r="K8" i="3"/>
  <c r="L8" i="3"/>
  <c r="B8" i="3"/>
  <c r="M8" i="3" l="1"/>
</calcChain>
</file>

<file path=xl/sharedStrings.xml><?xml version="1.0" encoding="utf-8"?>
<sst xmlns="http://schemas.openxmlformats.org/spreadsheetml/2006/main" count="20" uniqueCount="19">
  <si>
    <t>Druh vlastníctva</t>
  </si>
  <si>
    <t>0: Neurčený druh pozemku</t>
  </si>
  <si>
    <t>2: Orná pôda</t>
  </si>
  <si>
    <t>3: Chmeľnica</t>
  </si>
  <si>
    <t>4: Vinica</t>
  </si>
  <si>
    <t>5: Záhrada</t>
  </si>
  <si>
    <t>6: Ovocný sad</t>
  </si>
  <si>
    <t>7: Trvalý trávny porast</t>
  </si>
  <si>
    <t>10: Lesný pozemok</t>
  </si>
  <si>
    <t>11: Vodná plocha</t>
  </si>
  <si>
    <t>13: Zastavaná plocha a nádvorie</t>
  </si>
  <si>
    <t>14: Ostatná plocha</t>
  </si>
  <si>
    <t>Celkový súčet</t>
  </si>
  <si>
    <t>cirkevné</t>
  </si>
  <si>
    <t>obecné a mestské</t>
  </si>
  <si>
    <t>spoločenstvá</t>
  </si>
  <si>
    <t>súkromné a bez LV</t>
  </si>
  <si>
    <t>štátne</t>
  </si>
  <si>
    <t>zmiešané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</si>
</sst>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2" xfId="0" applyNumberFormat="1" applyFont="1" applyBorder="1"/>
    <xf numFmtId="0" fontId="1" fillId="0" borderId="1" xfId="0" applyFont="1" applyBorder="1"/>
    <xf numFmtId="2" fontId="2" fillId="0" borderId="3" xfId="0" applyNumberFormat="1" applyFont="1" applyBorder="1"/>
    <xf numFmtId="0" fontId="2" fillId="0" borderId="0" xfId="0" applyFont="1"/>
    <xf numFmtId="2" fontId="1" fillId="0" borderId="2" xfId="0" applyNumberFormat="1" applyFont="1" applyBorder="1"/>
    <xf numFmtId="2" fontId="1" fillId="0" borderId="3" xfId="0" applyNumberFormat="1" applyFont="1" applyBorder="1"/>
    <xf numFmtId="0" fontId="1" fillId="0" borderId="4" xfId="0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álna" xfId="0" builtinId="0"/>
  </cellStyles>
  <dxfs count="15"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colors>
    <mruColors>
      <color rgb="FFF4E129"/>
      <color rgb="FF88BCE1"/>
      <color rgb="FFFEA062"/>
      <color rgb="FFAC62FF"/>
      <color rgb="FF00CE94"/>
      <color rgb="FFF1553C"/>
      <color rgb="FF626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8BCE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6C-4283-BF55-85A2CF6A19C9}"/>
              </c:ext>
            </c:extLst>
          </c:dPt>
          <c:dPt>
            <c:idx val="1"/>
            <c:bubble3D val="0"/>
            <c:spPr>
              <a:solidFill>
                <a:srgbClr val="F4E129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6C-4283-BF55-85A2CF6A19C9}"/>
              </c:ext>
            </c:extLst>
          </c:dPt>
          <c:dPt>
            <c:idx val="2"/>
            <c:bubble3D val="0"/>
            <c:spPr>
              <a:solidFill>
                <a:srgbClr val="FEA06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6C-4283-BF55-85A2CF6A19C9}"/>
              </c:ext>
            </c:extLst>
          </c:dPt>
          <c:dPt>
            <c:idx val="3"/>
            <c:bubble3D val="0"/>
            <c:spPr>
              <a:solidFill>
                <a:srgbClr val="626B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6C-4283-BF55-85A2CF6A19C9}"/>
              </c:ext>
            </c:extLst>
          </c:dPt>
          <c:dPt>
            <c:idx val="4"/>
            <c:bubble3D val="0"/>
            <c:spPr>
              <a:solidFill>
                <a:srgbClr val="00CE9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6C-4283-BF55-85A2CF6A19C9}"/>
              </c:ext>
            </c:extLst>
          </c:dPt>
          <c:dPt>
            <c:idx val="5"/>
            <c:bubble3D val="0"/>
            <c:spPr>
              <a:solidFill>
                <a:srgbClr val="F1553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56C-4283-BF55-85A2CF6A19C9}"/>
              </c:ext>
            </c:extLst>
          </c:dPt>
          <c:dLbls>
            <c:dLbl>
              <c:idx val="0"/>
              <c:layout>
                <c:manualLayout>
                  <c:x val="-3.3713838286909693E-2"/>
                  <c:y val="-0.1412229813185116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C-4283-BF55-85A2CF6A19C9}"/>
                </c:ext>
              </c:extLst>
            </c:dLbl>
            <c:dLbl>
              <c:idx val="1"/>
              <c:layout>
                <c:manualLayout>
                  <c:x val="5.1522907125366724E-3"/>
                  <c:y val="-6.74801219700478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6C-4283-BF55-85A2CF6A19C9}"/>
                </c:ext>
              </c:extLst>
            </c:dLbl>
            <c:dLbl>
              <c:idx val="2"/>
              <c:layout>
                <c:manualLayout>
                  <c:x val="5.0579240989788998E-2"/>
                  <c:y val="-0.1307709973753280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6C-4283-BF55-85A2CF6A19C9}"/>
                </c:ext>
              </c:extLst>
            </c:dLbl>
            <c:dLbl>
              <c:idx val="3"/>
              <c:layout>
                <c:manualLayout>
                  <c:x val="-6.1700494859871939E-2"/>
                  <c:y val="3.761289949050477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6C-4283-BF55-85A2CF6A19C9}"/>
                </c:ext>
              </c:extLst>
            </c:dLbl>
            <c:dLbl>
              <c:idx val="4"/>
              <c:layout>
                <c:manualLayout>
                  <c:x val="-9.4285240640924264E-3"/>
                  <c:y val="-3.22180407596109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6C-4283-BF55-85A2CF6A19C9}"/>
                </c:ext>
              </c:extLst>
            </c:dLbl>
            <c:dLbl>
              <c:idx val="5"/>
              <c:layout>
                <c:manualLayout>
                  <c:x val="7.4586069389456409E-4"/>
                  <c:y val="-7.3876794812410905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6C-4283-BF55-85A2CF6A19C9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Analyza_tab!$A$2:$A$7</c:f>
              <c:strCache>
                <c:ptCount val="6"/>
                <c:pt idx="0">
                  <c:v>cirkevné</c:v>
                </c:pt>
                <c:pt idx="1">
                  <c:v>obecné a mestské</c:v>
                </c:pt>
                <c:pt idx="2">
                  <c:v>spoločenstvá</c:v>
                </c:pt>
                <c:pt idx="3">
                  <c:v>súkromné a bez LV</c:v>
                </c:pt>
                <c:pt idx="4">
                  <c:v>štátne</c:v>
                </c:pt>
                <c:pt idx="5">
                  <c:v>zmiešané</c:v>
                </c:pt>
              </c:strCache>
            </c:strRef>
          </c:cat>
          <c:val>
            <c:numRef>
              <c:f>Analyza_tab!$M$2:$M$7</c:f>
              <c:numCache>
                <c:formatCode>0.00</c:formatCode>
                <c:ptCount val="6"/>
                <c:pt idx="0">
                  <c:v>104.1407042850953</c:v>
                </c:pt>
                <c:pt idx="1">
                  <c:v>3420.2803450633355</c:v>
                </c:pt>
                <c:pt idx="2">
                  <c:v>953.80957284769352</c:v>
                </c:pt>
                <c:pt idx="3">
                  <c:v>43777.701568590826</c:v>
                </c:pt>
                <c:pt idx="4">
                  <c:v>9650.8071851881577</c:v>
                </c:pt>
                <c:pt idx="5">
                  <c:v>9923.3406240207933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6C-4283-BF55-85A2CF6A19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41191973322864"/>
          <c:y val="0.20325562448769827"/>
          <c:w val="0.32497209548648837"/>
          <c:h val="0.61070494710005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145676</xdr:rowOff>
    </xdr:from>
    <xdr:to>
      <xdr:col>9</xdr:col>
      <xdr:colOff>369794</xdr:colOff>
      <xdr:row>53</xdr:row>
      <xdr:rowOff>11205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8A77A331-3B3E-4B3D-AEC4-3111860D3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883F67-DC4E-4115-AEB9-EA41E966B98F}" name="Tabuľka2" displayName="Tabuľka2" ref="A1:M8" totalsRowShown="0" headerRowDxfId="14" dataDxfId="13">
  <autoFilter ref="A1:M8" xr:uid="{F1883F67-DC4E-4115-AEB9-EA41E966B9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B7D1CD9-4D52-4B99-8895-D622BE2C3C7C}" name="Druh vlastníctva" dataDxfId="12"/>
    <tableColumn id="2" xr3:uid="{8B69B144-1D90-40EF-A786-70B7E66F7E85}" name="0: Neurčený druh pozemku" dataDxfId="11"/>
    <tableColumn id="3" xr3:uid="{FCF8DA82-1750-4794-A522-95EC24C2BF03}" name="2: Orná pôda" dataDxfId="10"/>
    <tableColumn id="4" xr3:uid="{48DFAC07-3C5A-42CD-BF11-6A3355DD24E0}" name="3: Chmeľnica" dataDxfId="9"/>
    <tableColumn id="5" xr3:uid="{B8DE85D9-1A09-4CBE-A1BD-2A6F29BE5B5D}" name="4: Vinica" dataDxfId="8"/>
    <tableColumn id="6" xr3:uid="{45597D73-09DA-4023-9D99-E5818420CD86}" name="5: Záhrada" dataDxfId="7"/>
    <tableColumn id="7" xr3:uid="{438D53F8-9265-41C4-9387-FF0DCAA9F9FB}" name="6: Ovocný sad" dataDxfId="6"/>
    <tableColumn id="8" xr3:uid="{F58AAD28-F09A-45CB-BC22-55B237BC2DAA}" name="7: Trvalý trávny porast" dataDxfId="5"/>
    <tableColumn id="9" xr3:uid="{F73261F3-6943-4E42-908A-82DFEAC1CB5A}" name="10: Lesný pozemok" dataDxfId="4"/>
    <tableColumn id="10" xr3:uid="{D7821ADD-49B1-4A1E-A8BC-3A10DE163916}" name="11: Vodná plocha" dataDxfId="3"/>
    <tableColumn id="11" xr3:uid="{FA6D8200-5E12-4569-A04F-AD3829835CF8}" name="13: Zastavaná plocha a nádvorie" dataDxfId="2"/>
    <tableColumn id="12" xr3:uid="{BBB3EEBA-C767-4A1D-AC20-4181C287873D}" name="14: Ostatná plocha" dataDxfId="1"/>
    <tableColumn id="13" xr3:uid="{166A7125-D7FD-4EEF-A04A-65F24FD13A56}" name="Celkový súčet" dataDxfId="0">
      <calculatedColumnFormula>SUM(Tabuľka2[[#This Row],[0: Neurčený druh pozemku]:[14: Ostatná plocha]])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B190-3263-47BC-82A0-DF7D8EFBBC9F}">
  <dimension ref="A1:M8"/>
  <sheetViews>
    <sheetView showGridLines="0" tabSelected="1" zoomScale="85" zoomScaleNormal="85" workbookViewId="0">
      <selection activeCell="B11" sqref="B11"/>
    </sheetView>
  </sheetViews>
  <sheetFormatPr defaultRowHeight="12.75" x14ac:dyDescent="0.2"/>
  <cols>
    <col min="1" max="1" width="19.28515625" bestFit="1" customWidth="1"/>
    <col min="2" max="2" width="28.5703125" bestFit="1" customWidth="1"/>
    <col min="3" max="3" width="14" bestFit="1" customWidth="1"/>
    <col min="4" max="4" width="14.28515625" bestFit="1" customWidth="1"/>
    <col min="5" max="5" width="9.28515625" bestFit="1" customWidth="1"/>
    <col min="6" max="6" width="11.28515625" bestFit="1" customWidth="1"/>
    <col min="7" max="7" width="15.28515625" bestFit="1" customWidth="1"/>
    <col min="8" max="8" width="23.85546875" bestFit="1" customWidth="1"/>
    <col min="9" max="9" width="20.42578125" bestFit="1" customWidth="1"/>
    <col min="10" max="10" width="18.28515625" bestFit="1" customWidth="1"/>
    <col min="11" max="11" width="34" bestFit="1" customWidth="1"/>
    <col min="12" max="12" width="19.85546875" bestFit="1" customWidth="1"/>
    <col min="13" max="13" width="15.42578125" bestFit="1" customWidth="1"/>
  </cols>
  <sheetData>
    <row r="1" spans="1:13" ht="23.25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ht="15" x14ac:dyDescent="0.25">
      <c r="A2" s="1" t="s">
        <v>13</v>
      </c>
      <c r="B2" s="6">
        <v>0</v>
      </c>
      <c r="C2" s="6">
        <v>35.735288665205907</v>
      </c>
      <c r="D2" s="6">
        <v>0</v>
      </c>
      <c r="E2" s="6">
        <v>0</v>
      </c>
      <c r="F2" s="6">
        <v>2.6021059224303844</v>
      </c>
      <c r="G2" s="6">
        <v>0</v>
      </c>
      <c r="H2" s="6">
        <v>17.631151939393956</v>
      </c>
      <c r="I2" s="6">
        <v>37.788559108434633</v>
      </c>
      <c r="J2" s="6">
        <v>0.96711829964183271</v>
      </c>
      <c r="K2" s="6">
        <v>4.0387800051702332</v>
      </c>
      <c r="L2" s="6">
        <v>5.3777003448183374</v>
      </c>
      <c r="M2" s="2">
        <f>SUM(Tabuľka2[[#This Row],[0: Neurčený druh pozemku]:[14: Ostatná plocha]])</f>
        <v>104.1407042850953</v>
      </c>
    </row>
    <row r="3" spans="1:13" ht="15" x14ac:dyDescent="0.25">
      <c r="A3" s="1" t="s">
        <v>14</v>
      </c>
      <c r="B3" s="6">
        <v>0</v>
      </c>
      <c r="C3" s="6">
        <v>305.7167244821452</v>
      </c>
      <c r="D3" s="6">
        <v>0.22463476734242871</v>
      </c>
      <c r="E3" s="6">
        <v>0</v>
      </c>
      <c r="F3" s="6">
        <v>5.7435986150317717</v>
      </c>
      <c r="G3" s="6">
        <v>0</v>
      </c>
      <c r="H3" s="6">
        <v>542.0368241052978</v>
      </c>
      <c r="I3" s="6">
        <v>2122.2757201699187</v>
      </c>
      <c r="J3" s="6">
        <v>31.149162696011885</v>
      </c>
      <c r="K3" s="6">
        <v>176.22096093558963</v>
      </c>
      <c r="L3" s="6">
        <v>236.91271929199817</v>
      </c>
      <c r="M3" s="2">
        <f>SUM(Tabuľka2[[#This Row],[0: Neurčený druh pozemku]:[14: Ostatná plocha]])</f>
        <v>3420.2803450633355</v>
      </c>
    </row>
    <row r="4" spans="1:13" ht="15" x14ac:dyDescent="0.25">
      <c r="A4" s="1" t="s">
        <v>15</v>
      </c>
      <c r="B4" s="6">
        <v>0</v>
      </c>
      <c r="C4" s="6">
        <v>3.5171379566669039</v>
      </c>
      <c r="D4" s="6">
        <v>0</v>
      </c>
      <c r="E4" s="6">
        <v>0</v>
      </c>
      <c r="F4" s="6">
        <v>10.598905509180994</v>
      </c>
      <c r="G4" s="6">
        <v>0</v>
      </c>
      <c r="H4" s="6">
        <v>19.804909142281637</v>
      </c>
      <c r="I4" s="6">
        <v>885.13486168882037</v>
      </c>
      <c r="J4" s="6">
        <v>0</v>
      </c>
      <c r="K4" s="6">
        <v>1.7723640820190107</v>
      </c>
      <c r="L4" s="6">
        <v>32.981394468724652</v>
      </c>
      <c r="M4" s="2">
        <f>SUM(Tabuľka2[[#This Row],[0: Neurčený druh pozemku]:[14: Ostatná plocha]])</f>
        <v>953.80957284769352</v>
      </c>
    </row>
    <row r="5" spans="1:13" ht="15" x14ac:dyDescent="0.25">
      <c r="A5" s="1" t="s">
        <v>16</v>
      </c>
      <c r="B5" s="6">
        <f>131.873939534485-36.59443823</f>
        <v>95.279501304484995</v>
      </c>
      <c r="C5" s="6">
        <v>15245.408634768988</v>
      </c>
      <c r="D5" s="6">
        <v>8.0376427272414008E-2</v>
      </c>
      <c r="E5" s="6">
        <v>0.14451943521992389</v>
      </c>
      <c r="F5" s="6">
        <v>346.17394101846531</v>
      </c>
      <c r="G5" s="6">
        <v>13.621290622042876</v>
      </c>
      <c r="H5" s="6">
        <v>12984.959679431566</v>
      </c>
      <c r="I5" s="6">
        <v>13617.57724708491</v>
      </c>
      <c r="J5" s="6">
        <v>18.553680690143146</v>
      </c>
      <c r="K5" s="6">
        <v>892.9697821309685</v>
      </c>
      <c r="L5" s="6">
        <v>562.93291567676602</v>
      </c>
      <c r="M5" s="2">
        <f>SUM(Tabuľka2[[#This Row],[0: Neurčený druh pozemku]:[14: Ostatná plocha]])</f>
        <v>43777.701568590826</v>
      </c>
    </row>
    <row r="6" spans="1:13" ht="15" x14ac:dyDescent="0.25">
      <c r="A6" s="1" t="s">
        <v>17</v>
      </c>
      <c r="B6" s="6">
        <v>0</v>
      </c>
      <c r="C6" s="6">
        <v>1032.9855560830665</v>
      </c>
      <c r="D6" s="6">
        <v>0</v>
      </c>
      <c r="E6" s="6">
        <v>0</v>
      </c>
      <c r="F6" s="6">
        <v>5.0848018769261802</v>
      </c>
      <c r="G6" s="6">
        <v>0</v>
      </c>
      <c r="H6" s="6">
        <v>755.60484190094155</v>
      </c>
      <c r="I6" s="6">
        <v>7190.4565569505421</v>
      </c>
      <c r="J6" s="6">
        <v>153.98893503042038</v>
      </c>
      <c r="K6" s="6">
        <v>141.61801118915164</v>
      </c>
      <c r="L6" s="6">
        <v>371.06848215711062</v>
      </c>
      <c r="M6" s="2">
        <f>SUM(Tabuľka2[[#This Row],[0: Neurčený druh pozemku]:[14: Ostatná plocha]])</f>
        <v>9650.8071851881577</v>
      </c>
    </row>
    <row r="7" spans="1:13" ht="15.75" thickBot="1" x14ac:dyDescent="0.3">
      <c r="A7" s="3" t="s">
        <v>18</v>
      </c>
      <c r="B7" s="7">
        <v>0</v>
      </c>
      <c r="C7" s="7">
        <v>31.722202405174091</v>
      </c>
      <c r="D7" s="7">
        <v>0</v>
      </c>
      <c r="E7" s="7">
        <v>0</v>
      </c>
      <c r="F7" s="7">
        <v>10.817509505039469</v>
      </c>
      <c r="G7" s="7">
        <v>0</v>
      </c>
      <c r="H7" s="7">
        <v>474.46555596612552</v>
      </c>
      <c r="I7" s="7">
        <v>9050.9331940799602</v>
      </c>
      <c r="J7" s="7">
        <v>199.42515894262786</v>
      </c>
      <c r="K7" s="7">
        <v>51.5502802350953</v>
      </c>
      <c r="L7" s="7">
        <v>104.42672288677289</v>
      </c>
      <c r="M7" s="4">
        <f>SUM(Tabuľka2[[#This Row],[0: Neurčený druh pozemku]:[14: Ostatná plocha]])</f>
        <v>9923.3406240207933</v>
      </c>
    </row>
    <row r="8" spans="1:13" ht="15.75" thickTop="1" x14ac:dyDescent="0.25">
      <c r="A8" s="5" t="s">
        <v>12</v>
      </c>
      <c r="B8" s="2">
        <f t="shared" ref="B8:L8" si="0">SUBTOTAL(109,B2:B7)</f>
        <v>95.279501304484995</v>
      </c>
      <c r="C8" s="2">
        <f t="shared" si="0"/>
        <v>16655.085544361245</v>
      </c>
      <c r="D8" s="2">
        <f t="shared" si="0"/>
        <v>0.30501119461484272</v>
      </c>
      <c r="E8" s="2">
        <f t="shared" si="0"/>
        <v>0.14451943521992389</v>
      </c>
      <c r="F8" s="2">
        <f t="shared" si="0"/>
        <v>381.02086244707414</v>
      </c>
      <c r="G8" s="2">
        <f t="shared" si="0"/>
        <v>13.621290622042876</v>
      </c>
      <c r="H8" s="2">
        <f t="shared" si="0"/>
        <v>14794.502962485607</v>
      </c>
      <c r="I8" s="2">
        <f t="shared" si="0"/>
        <v>32904.16613908259</v>
      </c>
      <c r="J8" s="2">
        <f t="shared" si="0"/>
        <v>404.0840556588451</v>
      </c>
      <c r="K8" s="2">
        <f t="shared" si="0"/>
        <v>1268.1701785779942</v>
      </c>
      <c r="L8" s="2">
        <f t="shared" si="0"/>
        <v>1313.6999348261907</v>
      </c>
      <c r="M8" s="2">
        <f>SUM(Tabuľka2[[#This Row],[0: Neurčený druh pozemku]:[14: Ostatná plocha]])</f>
        <v>67830.079999995898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Analyza_tab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Sasik</dc:creator>
  <cp:keywords/>
  <dc:description/>
  <cp:lastModifiedBy>Robert Sasik</cp:lastModifiedBy>
  <cp:revision>0</cp:revision>
  <dcterms:created xsi:type="dcterms:W3CDTF">2025-08-05T18:47:59Z</dcterms:created>
  <dcterms:modified xsi:type="dcterms:W3CDTF">2025-10-25T21:32:54Z</dcterms:modified>
  <cp:category/>
  <cp:contentStatus/>
</cp:coreProperties>
</file>